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drawings/drawing2.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INE" sheetId="1" state="visible" r:id="rId1"/>
    <sheet xmlns:r="http://schemas.openxmlformats.org/officeDocument/2006/relationships" name="Chosen Tau Ranking Distribution" sheetId="2" state="visible" r:id="rId2"/>
    <sheet xmlns:r="http://schemas.openxmlformats.org/officeDocument/2006/relationships" name="Chosen Tau (4-colour)" sheetId="3" state="visible" r:id="rId3"/>
  </sheets>
  <definedNames/>
  <calcPr calcId="124519" fullCalcOnLoad="1"/>
</workbook>
</file>

<file path=xl/styles.xml><?xml version="1.0" encoding="utf-8"?>
<styleSheet xmlns="http://schemas.openxmlformats.org/spreadsheetml/2006/main">
  <numFmts count="0"/>
  <fonts count="14">
    <font>
      <name val="Calibri"/>
      <family val="2"/>
      <color theme="1"/>
      <sz val="11"/>
      <scheme val="minor"/>
    </font>
    <font>
      <b val="1"/>
      <sz val="11"/>
    </font>
    <font>
      <b val="1"/>
      <color rgb="00F1EFE8"/>
    </font>
    <font>
      <color rgb="00FFFFFF"/>
      <sz val="9"/>
    </font>
    <font>
      <color rgb="00000000"/>
      <sz val="9"/>
    </font>
    <font>
      <b val="1"/>
      <color rgb="00FFFFFF"/>
      <sz val="11"/>
    </font>
    <font>
      <b val="1"/>
      <color rgb="001F4E79"/>
      <sz val="10"/>
    </font>
    <font>
      <b val="1"/>
      <color rgb="00276221"/>
    </font>
    <font>
      <b val="1"/>
      <color rgb="007F6000"/>
      <sz val="10"/>
    </font>
    <font>
      <i val="1"/>
      <color rgb="007F6000"/>
      <sz val="9"/>
    </font>
    <font>
      <i val="1"/>
      <color rgb="000563C1"/>
      <sz val="9"/>
      <u val="single"/>
    </font>
    <font/>
    <font>
      <b val="1"/>
      <color rgb="00375623"/>
      <sz val="10"/>
    </font>
    <font>
      <i val="1"/>
      <color rgb="00375623"/>
      <sz val="9"/>
    </font>
  </fonts>
  <fills count="19">
    <fill>
      <patternFill/>
    </fill>
    <fill>
      <patternFill patternType="gray125"/>
    </fill>
    <fill>
      <patternFill patternType="solid">
        <fgColor rgb="002C2C2A"/>
      </patternFill>
    </fill>
    <fill>
      <patternFill patternType="solid">
        <fgColor rgb="001F77B4"/>
      </patternFill>
    </fill>
    <fill>
      <patternFill patternType="solid">
        <fgColor rgb="00AEC7E8"/>
      </patternFill>
    </fill>
    <fill>
      <patternFill patternType="solid">
        <fgColor rgb="00FF7F0E"/>
      </patternFill>
    </fill>
    <fill>
      <patternFill patternType="solid">
        <fgColor rgb="00FFBB78"/>
      </patternFill>
    </fill>
    <fill>
      <patternFill patternType="solid">
        <fgColor rgb="002CA02C"/>
      </patternFill>
    </fill>
    <fill>
      <patternFill patternType="solid">
        <fgColor rgb="0098DF8A"/>
      </patternFill>
    </fill>
    <fill>
      <patternFill patternType="solid">
        <fgColor rgb="00D62728"/>
      </patternFill>
    </fill>
    <fill>
      <patternFill patternType="solid">
        <fgColor rgb="00FF9896"/>
      </patternFill>
    </fill>
    <fill>
      <patternFill patternType="solid">
        <fgColor rgb="009467BD"/>
      </patternFill>
    </fill>
    <fill>
      <patternFill patternType="solid">
        <fgColor rgb="00C5B0D5"/>
      </patternFill>
    </fill>
    <fill>
      <patternFill patternType="solid">
        <fgColor rgb="008C564B"/>
      </patternFill>
    </fill>
    <fill>
      <patternFill patternType="solid">
        <fgColor rgb="001F4E79"/>
      </patternFill>
    </fill>
    <fill>
      <patternFill patternType="solid">
        <fgColor rgb="00D6E4F0"/>
      </patternFill>
    </fill>
    <fill>
      <patternFill patternType="solid">
        <fgColor rgb="00C6EFCE"/>
      </patternFill>
    </fill>
    <fill>
      <patternFill patternType="solid">
        <fgColor rgb="00FFF2CC"/>
      </patternFill>
    </fill>
    <fill>
      <patternFill patternType="solid">
        <fgColor rgb="00E2EFDA"/>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35">
    <xf numFmtId="0" fontId="0" fillId="0" borderId="0" pivotButton="0" quotePrefix="0" xfId="0"/>
    <xf numFmtId="0" fontId="1" fillId="0" borderId="0" applyAlignment="1" pivotButton="0" quotePrefix="0" xfId="0">
      <alignment horizontal="center" vertical="center" wrapText="1"/>
    </xf>
    <xf numFmtId="0" fontId="2" fillId="2" borderId="1" applyAlignment="1" pivotButton="0" quotePrefix="0" xfId="0">
      <alignment horizontal="center" vertical="center" wrapText="1"/>
    </xf>
    <xf numFmtId="0" fontId="3" fillId="3" borderId="1" applyAlignment="1" pivotButton="0" quotePrefix="0" xfId="0">
      <alignment horizontal="left" vertical="center" wrapText="1"/>
    </xf>
    <xf numFmtId="0" fontId="3" fillId="3" borderId="1" applyAlignment="1" pivotButton="0" quotePrefix="0" xfId="0">
      <alignment horizontal="center" vertical="center"/>
    </xf>
    <xf numFmtId="0" fontId="4" fillId="4" borderId="1" applyAlignment="1" pivotButton="0" quotePrefix="0" xfId="0">
      <alignment horizontal="left" vertical="center" wrapText="1"/>
    </xf>
    <xf numFmtId="0" fontId="4" fillId="4" borderId="1" applyAlignment="1" pivotButton="0" quotePrefix="0" xfId="0">
      <alignment horizontal="center" vertical="center"/>
    </xf>
    <xf numFmtId="0" fontId="4" fillId="5" borderId="1" applyAlignment="1" pivotButton="0" quotePrefix="0" xfId="0">
      <alignment horizontal="left" vertical="center" wrapText="1"/>
    </xf>
    <xf numFmtId="0" fontId="4" fillId="5" borderId="1" applyAlignment="1" pivotButton="0" quotePrefix="0" xfId="0">
      <alignment horizontal="center" vertical="center"/>
    </xf>
    <xf numFmtId="0" fontId="4" fillId="6" borderId="1" applyAlignment="1" pivotButton="0" quotePrefix="0" xfId="0">
      <alignment horizontal="left" vertical="center" wrapText="1"/>
    </xf>
    <xf numFmtId="0" fontId="4" fillId="6" borderId="1" applyAlignment="1" pivotButton="0" quotePrefix="0" xfId="0">
      <alignment horizontal="center" vertical="center"/>
    </xf>
    <xf numFmtId="0" fontId="3" fillId="7" borderId="1" applyAlignment="1" pivotButton="0" quotePrefix="0" xfId="0">
      <alignment horizontal="left" vertical="center" wrapText="1"/>
    </xf>
    <xf numFmtId="0" fontId="3" fillId="7" borderId="1" applyAlignment="1" pivotButton="0" quotePrefix="0" xfId="0">
      <alignment horizontal="center" vertical="center"/>
    </xf>
    <xf numFmtId="0" fontId="4" fillId="8" borderId="1" applyAlignment="1" pivotButton="0" quotePrefix="0" xfId="0">
      <alignment horizontal="left" vertical="center" wrapText="1"/>
    </xf>
    <xf numFmtId="0" fontId="4" fillId="8" borderId="1" applyAlignment="1" pivotButton="0" quotePrefix="0" xfId="0">
      <alignment horizontal="center" vertical="center"/>
    </xf>
    <xf numFmtId="0" fontId="3" fillId="9" borderId="1" applyAlignment="1" pivotButton="0" quotePrefix="0" xfId="0">
      <alignment horizontal="left" vertical="center" wrapText="1"/>
    </xf>
    <xf numFmtId="0" fontId="3" fillId="9" borderId="1" applyAlignment="1" pivotButton="0" quotePrefix="0" xfId="0">
      <alignment horizontal="center" vertical="center"/>
    </xf>
    <xf numFmtId="0" fontId="4" fillId="10" borderId="1" applyAlignment="1" pivotButton="0" quotePrefix="0" xfId="0">
      <alignment horizontal="left" vertical="center" wrapText="1"/>
    </xf>
    <xf numFmtId="0" fontId="4" fillId="10" borderId="1" applyAlignment="1" pivotButton="0" quotePrefix="0" xfId="0">
      <alignment horizontal="center" vertical="center"/>
    </xf>
    <xf numFmtId="0" fontId="3" fillId="11" borderId="1" applyAlignment="1" pivotButton="0" quotePrefix="0" xfId="0">
      <alignment horizontal="left" vertical="center" wrapText="1"/>
    </xf>
    <xf numFmtId="0" fontId="3" fillId="11" borderId="1" applyAlignment="1" pivotButton="0" quotePrefix="0" xfId="0">
      <alignment horizontal="center" vertical="center"/>
    </xf>
    <xf numFmtId="0" fontId="4" fillId="12" borderId="1" applyAlignment="1" pivotButton="0" quotePrefix="0" xfId="0">
      <alignment horizontal="left" vertical="center" wrapText="1"/>
    </xf>
    <xf numFmtId="0" fontId="4" fillId="12" borderId="1" applyAlignment="1" pivotButton="0" quotePrefix="0" xfId="0">
      <alignment horizontal="center" vertical="center"/>
    </xf>
    <xf numFmtId="0" fontId="3" fillId="13" borderId="1" applyAlignment="1" pivotButton="0" quotePrefix="0" xfId="0">
      <alignment horizontal="left" vertical="center" wrapText="1"/>
    </xf>
    <xf numFmtId="0" fontId="3" fillId="13" borderId="1" applyAlignment="1" pivotButton="0" quotePrefix="0" xfId="0">
      <alignment horizontal="center" vertical="center"/>
    </xf>
    <xf numFmtId="0" fontId="5" fillId="14" borderId="1" applyAlignment="1" pivotButton="0" quotePrefix="0" xfId="0">
      <alignment horizontal="center" vertical="center" wrapText="1"/>
    </xf>
    <xf numFmtId="1" fontId="6" fillId="15" borderId="1" applyAlignment="1" pivotButton="0" quotePrefix="0" xfId="0">
      <alignment horizontal="center" vertical="center"/>
    </xf>
    <xf numFmtId="0" fontId="7" fillId="16" borderId="1" applyAlignment="1" pivotButton="0" quotePrefix="0" xfId="0">
      <alignment horizontal="center" vertical="center"/>
    </xf>
    <xf numFmtId="0" fontId="11" fillId="0" borderId="1" applyAlignment="1" pivotButton="0" quotePrefix="0" xfId="0">
      <alignment horizontal="center" vertical="center"/>
    </xf>
    <xf numFmtId="1" fontId="8" fillId="17" borderId="1" applyAlignment="1" pivotButton="0" quotePrefix="0" xfId="0">
      <alignment horizontal="center" vertical="center"/>
    </xf>
    <xf numFmtId="0" fontId="9" fillId="0" borderId="0" applyAlignment="1" pivotButton="0" quotePrefix="0" xfId="0">
      <alignment horizontal="left" vertical="center"/>
    </xf>
    <xf numFmtId="9" fontId="0" fillId="0" borderId="1" applyAlignment="1" pivotButton="0" quotePrefix="0" xfId="0">
      <alignment horizontal="center" vertical="center"/>
    </xf>
    <xf numFmtId="0" fontId="10" fillId="0" borderId="0" applyAlignment="1" pivotButton="0" quotePrefix="0" xfId="0">
      <alignment horizontal="left" vertical="center"/>
    </xf>
    <xf numFmtId="9" fontId="12" fillId="18" borderId="1" applyAlignment="1" pivotButton="0" quotePrefix="0" xfId="0">
      <alignment horizontal="center" vertical="center"/>
    </xf>
    <xf numFmtId="0" fontId="13" fillId="0" borderId="0" applyAlignment="1" pivotButton="0" quotePrefix="0" xfId="0">
      <alignment horizontal="lef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drawings/_rels/drawing1.xml.rels><Relationships xmlns="http://schemas.openxmlformats.org/package/2006/relationships"><Relationship Type="http://schemas.openxmlformats.org/officeDocument/2006/relationships/image" Target="/xl/media/image1.png" Id="rId1"/></Relationships>
</file>

<file path=xl/drawings/_rels/drawing2.xml.rels><Relationships xmlns="http://schemas.openxmlformats.org/package/2006/relationships"><Relationship Type="http://schemas.openxmlformats.org/officeDocument/2006/relationships/image" Target="/xl/media/image2.png" Id="rId1"/></Relationships>
</file>

<file path=xl/drawings/drawing1.xml><?xml version="1.0" encoding="utf-8"?>
<wsDr xmlns="http://schemas.openxmlformats.org/drawingml/2006/spreadsheetDrawing">
  <oneCellAnchor>
    <from>
      <col>0</col>
      <colOff>0</colOff>
      <row>0</row>
      <rowOff>0</rowOff>
    </from>
    <ext cx="17830800" cy="924877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2.xml><?xml version="1.0" encoding="utf-8"?>
<wsDr xmlns="http://schemas.openxmlformats.org/drawingml/2006/spreadsheetDrawing">
  <oneCellAnchor>
    <from>
      <col>0</col>
      <colOff>0</colOff>
      <row>0</row>
      <rowOff>0</rowOff>
    </from>
    <ext cx="18688050" cy="924877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C:\Users\timja\OneDrive\Navy\Monterey\Dissertation\TSC\TSC_1000_Number_Theory+elliptic_curves_modular_forms_ranks_TF-IDF_20260525_135551" TargetMode="External" Id="rId1"/><Relationship Type="http://schemas.openxmlformats.org/officeDocument/2006/relationships/hyperlink" Target="C:\Users\timja\OneDrive\Navy\Monterey\Dissertation\TSC\TSC_150_elliptic_curves_modular_forms_ranks_TF-IDF_20260403_114841" TargetMode="External" Id="rId2"/></Relationships>
</file>

<file path=xl/worksheets/_rels/sheet2.xml.rels><Relationships xmlns="http://schemas.openxmlformats.org/package/2006/relationships"><Relationship Type="http://schemas.openxmlformats.org/officeDocument/2006/relationships/drawing" Target="/xl/drawings/drawing1.xml" Id="rId1"/></Relationships>
</file>

<file path=xl/worksheets/_rels/sheet3.xml.rels><Relationships xmlns="http://schemas.openxmlformats.org/package/2006/relationships"><Relationship Type="http://schemas.openxmlformats.org/officeDocument/2006/relationships/drawing" Target="/xl/drawings/drawing2.xml" Id="rId1"/></Relationships>
</file>

<file path=xl/worksheets/sheet1.xml><?xml version="1.0" encoding="utf-8"?>
<worksheet xmlns="http://schemas.openxmlformats.org/spreadsheetml/2006/main">
  <sheetPr>
    <outlinePr summaryBelow="1" summaryRight="1"/>
    <pageSetUpPr/>
  </sheetPr>
  <dimension ref="A1:Q17"/>
  <sheetViews>
    <sheetView workbookViewId="0">
      <pane xSplit="1" ySplit="2" topLeftCell="B3" activePane="bottomRight" state="frozen"/>
      <selection pane="topRight" activeCell="A1" sqref="A1"/>
      <selection pane="bottomLeft" activeCell="A1" sqref="A1"/>
      <selection pane="bottomRight" activeCell="A1" sqref="A1"/>
    </sheetView>
  </sheetViews>
  <sheetFormatPr baseColWidth="8" defaultRowHeight="15" outlineLevelCol="0"/>
  <cols>
    <col width="14" customWidth="1" min="1" max="1"/>
    <col width="40" customWidth="1" min="2" max="2"/>
    <col width="60" customWidth="1" min="3" max="3"/>
    <col width="12" customWidth="1" min="4" max="4"/>
    <col width="30" customWidth="1" min="5" max="5"/>
    <col width="8" customWidth="1" min="6" max="6"/>
    <col width="8" customWidth="1" min="7" max="7"/>
    <col width="8" customWidth="1" min="8" max="8"/>
    <col width="8" customWidth="1" min="9" max="9"/>
    <col width="8" customWidth="1" min="10" max="10"/>
    <col width="8" customWidth="1" min="11" max="11"/>
    <col width="8" customWidth="1" min="12" max="12"/>
    <col width="8" customWidth="1" min="13" max="13"/>
    <col width="8" customWidth="1" min="14" max="14"/>
    <col width="8" customWidth="1" min="15" max="15"/>
    <col width="8" customWidth="1" min="16" max="16"/>
  </cols>
  <sheetData>
    <row r="1" ht="76" customHeight="1">
      <c r="A1" s="25" t="inlineStr">
        <is>
          <t>Highest Rank
(1000)</t>
        </is>
      </c>
      <c r="B1" s="1" t="inlineStr">
        <is>
          <t>Top-10 Rankings vs λ at τ=0.05 (max TSC spread)  |  11 of 429 DOIs  [FINE]
TSC_150_elliptic_curves_modular_forms_ranks_TF-IDF_20260403_114841
Similarity Method: TF-IDF
Query Terms: "elliptic curves" "modular forms" "ranks"
Query Relevance Terms: "elliptic curves" "modular forms" "ranks"</t>
        </is>
      </c>
    </row>
    <row r="2" ht="30" customHeight="1">
      <c r="A2" s="26">
        <f>COUNTIF(A3:A13,"&lt;=10")</f>
        <v/>
      </c>
      <c r="B2" s="2" t="inlineStr">
        <is>
          <t>DOI</t>
        </is>
      </c>
      <c r="C2" s="2" t="inlineStr">
        <is>
          <t>Title</t>
        </is>
      </c>
      <c r="D2" s="2" t="inlineStr">
        <is>
          <t>Abstract</t>
        </is>
      </c>
      <c r="E2" s="2" t="inlineStr">
        <is>
          <t>Published</t>
        </is>
      </c>
      <c r="F2" s="2" t="inlineStr">
        <is>
          <t>Authors</t>
        </is>
      </c>
      <c r="G2" s="2" t="inlineStr">
        <is>
          <t>λ=0.01</t>
        </is>
      </c>
      <c r="H2" s="2" t="inlineStr">
        <is>
          <t>λ=0.02</t>
        </is>
      </c>
      <c r="I2" s="2" t="inlineStr">
        <is>
          <t>λ=0.03</t>
        </is>
      </c>
      <c r="J2" s="2" t="inlineStr">
        <is>
          <t>λ=0.04</t>
        </is>
      </c>
      <c r="K2" s="2" t="inlineStr">
        <is>
          <t>λ=0.05</t>
        </is>
      </c>
      <c r="L2" s="2" t="inlineStr">
        <is>
          <t>λ=0.06</t>
        </is>
      </c>
      <c r="M2" s="2" t="inlineStr">
        <is>
          <t>λ=0.07</t>
        </is>
      </c>
      <c r="N2" s="2" t="inlineStr">
        <is>
          <t>λ=0.08</t>
        </is>
      </c>
      <c r="O2" s="2" t="inlineStr">
        <is>
          <t>λ=0.09</t>
        </is>
      </c>
      <c r="P2" s="2" t="inlineStr">
        <is>
          <t>λ=0.10</t>
        </is>
      </c>
      <c r="Q2" s="2" t="inlineStr">
        <is>
          <t>λ=0.11</t>
        </is>
      </c>
    </row>
    <row r="3" ht="28" customHeight="1">
      <c r="A3" s="27" t="n">
        <v>3</v>
      </c>
      <c r="B3" s="3" t="inlineStr">
        <is>
          <t>10.48550/arxiv.1404.4964</t>
        </is>
      </c>
      <c r="C3" s="3" t="inlineStr">
        <is>
          <t>The Parity of Analytic Ranks among Quadratic Twists of Elliptic Curves over Number Fields</t>
        </is>
      </c>
      <c r="D3" s="3" t="inlineStr">
        <is>
          <t>The parity of the analytic rank of an elliptic curve is given by the root number in the functional equation L(E,s). Fixing an elliptic curve over any number field and considering the family of its quadratic twists, it is natural to ask what the average analytic rank in this family is. A lower bound on this number is given by the average root number. In this paper, we investigate the root number in such families and derive an asymptotic formula for the proportion of curves in the family that have even rank. Our results are then used to support a conjecture about the average analytic rank in this family of elliptic curves.</t>
        </is>
      </c>
      <c r="E3" s="3" t="inlineStr">
        <is>
          <t>2014-04-19</t>
        </is>
      </c>
      <c r="F3" s="3" t="inlineStr">
        <is>
          <t>Nava Balsam</t>
        </is>
      </c>
      <c r="G3" s="4" t="n">
        <v>1</v>
      </c>
      <c r="H3" s="4" t="n">
        <v>1</v>
      </c>
      <c r="I3" s="4" t="n">
        <v>1</v>
      </c>
      <c r="J3" s="4" t="n">
        <v>1</v>
      </c>
      <c r="K3" s="4" t="n">
        <v>1</v>
      </c>
      <c r="L3" s="4" t="n">
        <v>1</v>
      </c>
      <c r="M3" s="4" t="n">
        <v>1</v>
      </c>
      <c r="N3" s="4" t="n">
        <v>1</v>
      </c>
      <c r="O3" s="4" t="n">
        <v>1</v>
      </c>
      <c r="P3" s="4" t="n">
        <v>1</v>
      </c>
      <c r="Q3" s="4" t="n">
        <v>1</v>
      </c>
    </row>
    <row r="4" ht="28" customHeight="1">
      <c r="A4" s="28" t="n">
        <v>11</v>
      </c>
      <c r="B4" s="5" t="inlineStr">
        <is>
          <t>10.1017/S030500412610187X</t>
        </is>
      </c>
      <c r="C4" s="5" t="inlineStr">
        <is>
          <t>Selmer stability in families of congruent Galois representations</t>
        </is>
      </c>
      <c r="D4" s="5" t="inlineStr">
        <is>
          <t>In this paper, we study the variation of Selmer groups in families of modular Galois representations that are congruent modulo a fixed prime . Motivated by analogies with Goldfeld's conjecture on ranks in quadratic twist families of elliptic curves, we investigate the stability of Selmer groups defined over via Greenberg's local conditions under congruences of residual Galois representations. Let X be a positive real number. Fix a residual representation and a corresponding modular form f of weight 2 and optimal level. We count the number of level-raising modular forms g of weight 2 that are congruent to f modulo p , with level , such that the p -rank of the Selmer groups of g equals that of f . Under some mild assumptions on , we prove that this count grows at least as fast as as , for an explicit constant . The main result is a partial generalisation of theorems of Ono and Skinner on rank-zero quadratic twists to the setting of modular forms and Selmer groups.</t>
        </is>
      </c>
      <c r="E4" s="5" t="inlineStr">
        <is>
          <t>2025-05-05</t>
        </is>
      </c>
      <c r="F4" s="5" t="inlineStr">
        <is>
          <t>Anwesh Ray</t>
        </is>
      </c>
      <c r="G4" s="6" t="n">
        <v>2</v>
      </c>
      <c r="H4" s="6" t="n">
        <v>2</v>
      </c>
      <c r="I4" s="6" t="n">
        <v>2</v>
      </c>
      <c r="J4" s="6" t="n">
        <v>2</v>
      </c>
      <c r="K4" s="6" t="n">
        <v>2</v>
      </c>
      <c r="L4" s="6" t="n">
        <v>2</v>
      </c>
      <c r="M4" s="6" t="n">
        <v>2</v>
      </c>
      <c r="N4" s="6" t="n">
        <v>3</v>
      </c>
      <c r="O4" s="6" t="n">
        <v>4</v>
      </c>
      <c r="P4" s="6" t="n">
        <v>4</v>
      </c>
      <c r="Q4" s="6" t="n">
        <v>4</v>
      </c>
    </row>
    <row r="5" ht="28" customHeight="1">
      <c r="A5" s="27" t="n">
        <v>2</v>
      </c>
      <c r="B5" s="7" t="inlineStr">
        <is>
          <t>10.48550/arxiv.1511.07512</t>
        </is>
      </c>
      <c r="C5" s="7" t="inlineStr">
        <is>
          <t>On 2-Selmer ranks of quadratic twists of elliptic curves</t>
        </is>
      </c>
      <c r="D5" s="7" t="inlineStr">
        <is>
          <t>We study the -Selmer ranks of elliptic curves. We prove that for an arbitrary elliptic curve over an arbitrary number field , if the set of 2-Selmer ranks of quadratic twists of contains an integer , it contains all integers larger than and having the same parity as . We also find sufficient conditions on such that is equal to for some number . When all points in are rational, we give an upper bound for .</t>
        </is>
      </c>
      <c r="E5" s="7" t="inlineStr">
        <is>
          <t>2015-11-24</t>
        </is>
      </c>
      <c r="F5" s="7" t="inlineStr">
        <is>
          <t>Myungjun Yu</t>
        </is>
      </c>
      <c r="G5" s="8" t="n">
        <v>3</v>
      </c>
      <c r="H5" s="8" t="n">
        <v>3</v>
      </c>
      <c r="I5" s="8" t="n">
        <v>3</v>
      </c>
      <c r="J5" s="8" t="n">
        <v>3</v>
      </c>
      <c r="K5" s="8" t="n">
        <v>3</v>
      </c>
      <c r="L5" s="8" t="n">
        <v>3</v>
      </c>
      <c r="M5" s="8" t="n">
        <v>3</v>
      </c>
      <c r="N5" s="8" t="n">
        <v>2</v>
      </c>
      <c r="O5" s="8" t="n">
        <v>2</v>
      </c>
      <c r="P5" s="8" t="n">
        <v>2</v>
      </c>
      <c r="Q5" s="8" t="n">
        <v>2</v>
      </c>
    </row>
    <row r="6" ht="28" customHeight="1">
      <c r="A6" s="27" t="n">
        <v>1</v>
      </c>
      <c r="B6" s="9" t="inlineStr">
        <is>
          <t>10.1093/imrn/rnt013</t>
        </is>
      </c>
      <c r="C6" s="9" t="inlineStr">
        <is>
          <t>Ranks of Elliptic Curves with Prescribed Torsion over Number Fields</t>
        </is>
      </c>
      <c r="D6" s="9" t="inlineStr">
        <is>
          <t>We study the structure of Mordell-Weil groups of elliptic curves over number fields of degrees 2, 3, and 4. We show that if T is a group, then either the class of all elliptic curves over quadratic fields with torsion subgroup T is empty or it contains curves of rank 0 as well as curves of positive rank. We prove a similar but slightly weaker result for cubic and quartic fields. On the other hand, we find a group T and a quartic field K such that among the elliptic curves over K with torsion subgroup T, there are curves of positive rank, but none of rank 0. We find examples of elliptic curves with positive rank and given torsion in many previously unknown cases. We also prove that all elliptic curves over quadratic fields with a point of order 13 or 18 and all elliptic curves over quartic fields with a point of order 22 are isogenous to one of their Galois conjugates and, by a phenomenon that we call false complex multiplication, have even rank. Finally, we discuss connections with elliptic curves over finite fields and applications to integer factorization.</t>
        </is>
      </c>
      <c r="E6" s="9" t="inlineStr">
        <is>
          <t>2013-02-15</t>
        </is>
      </c>
      <c r="F6" s="9" t="inlineStr">
        <is>
          <t>Johan Bosman; Peter Bruin; Andrej Dujella; Filip Najman</t>
        </is>
      </c>
      <c r="G6" s="10" t="n">
        <v>4</v>
      </c>
      <c r="H6" s="10" t="n">
        <v>4</v>
      </c>
      <c r="I6" s="10" t="n">
        <v>4</v>
      </c>
      <c r="J6" s="10" t="n">
        <v>4</v>
      </c>
      <c r="K6" s="10" t="n">
        <v>4</v>
      </c>
      <c r="L6" s="10" t="n">
        <v>4</v>
      </c>
      <c r="M6" s="10" t="n">
        <v>4</v>
      </c>
      <c r="N6" s="10" t="n">
        <v>4</v>
      </c>
      <c r="O6" s="10" t="n">
        <v>3</v>
      </c>
      <c r="P6" s="10" t="n">
        <v>3</v>
      </c>
      <c r="Q6" s="10" t="n">
        <v>3</v>
      </c>
    </row>
    <row r="7" ht="28" customHeight="1">
      <c r="A7" s="28" t="n">
        <v>13</v>
      </c>
      <c r="B7" s="11" t="inlineStr">
        <is>
          <t>10.1216/rmj-2014-44-6-1867</t>
        </is>
      </c>
      <c r="C7" s="11" t="inlineStr">
        <is>
          <t>On high rank and -congruent number elliptic curves</t>
        </is>
      </c>
      <c r="D7" s="11" t="inlineStr">
        <is>
          <t>Consider the elliptic curves given by \[ \ent : y^2=x^3+2s n x^2-(r^2-s^2) n^2 x \] where , is rational with and . These elliptic curves are related to the -congruent number problem as a generalization of the congruent number problem. For fixed , this family corresponds to the quadratic twist by of the curve . We study two special cases: and . We have found a subfamily of having rank at least over and a subfamily with rank~ parametrized by points of an elliptic curve with positive rank. We also found examples of such that has rank up to over in both cases.</t>
        </is>
      </c>
      <c r="E7" s="11" t="inlineStr">
        <is>
          <t>2014-12-01</t>
        </is>
      </c>
      <c r="F7" s="11" t="inlineStr">
        <is>
          <t>Ali S. Janfada; Sajad Salami; Andrej Dujella; Juan Carlos Peral</t>
        </is>
      </c>
      <c r="G7" s="12" t="n">
        <v>5</v>
      </c>
      <c r="H7" s="12" t="n">
        <v>5</v>
      </c>
      <c r="I7" s="12" t="n">
        <v>5</v>
      </c>
      <c r="J7" s="12" t="n">
        <v>5</v>
      </c>
      <c r="K7" s="12" t="n">
        <v>5</v>
      </c>
      <c r="L7" s="12" t="n">
        <v>5</v>
      </c>
      <c r="M7" s="12" t="n">
        <v>5</v>
      </c>
      <c r="N7" s="12" t="n">
        <v>5</v>
      </c>
      <c r="O7" s="12" t="n">
        <v>5</v>
      </c>
      <c r="P7" s="12" t="n">
        <v>5</v>
      </c>
      <c r="Q7" s="12" t="n">
        <v>5</v>
      </c>
    </row>
    <row r="8" ht="28" customHeight="1">
      <c r="A8" s="28" t="n">
        <v>15</v>
      </c>
      <c r="B8" s="13" t="inlineStr">
        <is>
          <t>10.1112/plms.70089</t>
        </is>
      </c>
      <c r="C8" s="13" t="inlineStr">
        <is>
          <t>Tamagawa number conjecture for CM modular forms and Rankin-Selberg convolutions</t>
        </is>
      </c>
      <c r="D8" s="13" t="inlineStr">
        <is>
          <t>Let E/F be an elliptic curve defined over a number field F with complex multiplication by the ring of integers of an imaginary quadratic field K such that the torsion points of E generate over F an abelian extension of K . In this paper, we prove the p -part of the Birch-Swinnerton-Dyer formula for E/F in analytic rank 1 for primes p&gt;3 split in K . This was previously known for F=Q by work of Rubin as a consequence of his proof of Mazur's Main Conjecture for rational CM elliptic curves, but the problem for [F:Q]&gt;1 remained wide open. The approach introduced in this paper also yields a proof of similar results for CM abelian varieties A/K and for CM modular forms, as well as an analog in this setting of Skinner's p -converse to the theorem of Gross-Zagier and Kolyvagin.</t>
        </is>
      </c>
      <c r="E8" s="13" t="inlineStr">
        <is>
          <t>2025-10-01</t>
        </is>
      </c>
      <c r="F8" s="13" t="inlineStr">
        <is>
          <t>Francesc Castella</t>
        </is>
      </c>
      <c r="G8" s="14" t="n">
        <v>6</v>
      </c>
      <c r="H8" s="14" t="n">
        <v>6</v>
      </c>
      <c r="I8" s="14" t="n">
        <v>6</v>
      </c>
      <c r="J8" s="14" t="n">
        <v>7</v>
      </c>
      <c r="K8" s="14" t="n">
        <v>8</v>
      </c>
      <c r="L8" s="14" t="n">
        <v>8</v>
      </c>
      <c r="M8" s="14" t="n">
        <v>8</v>
      </c>
      <c r="N8" s="14" t="n">
        <v>8</v>
      </c>
      <c r="O8" s="14" t="n">
        <v>8</v>
      </c>
      <c r="P8" s="14" t="n">
        <v>9</v>
      </c>
      <c r="Q8" s="14" t="n">
        <v>9</v>
      </c>
    </row>
    <row r="9" ht="28" customHeight="1">
      <c r="A9" s="28" t="n">
        <v>47</v>
      </c>
      <c r="B9" s="15" t="inlineStr">
        <is>
          <t>10.2422/2036-2145.202206_011</t>
        </is>
      </c>
      <c r="C9" s="15" t="inlineStr">
        <is>
          <t>On Shafarevich-Tate groups and analytic ranks in families of modular forms, I. Hida families</t>
        </is>
      </c>
      <c r="D9" s="15" t="inlineStr">
        <is>
          <t>Let be a newform of weight , square-free level and trivial character, let be the abelian variety attached to and for every good ordinary prime for let be the -adic Hida family through . We prove that, for all but finitely many primes as above, if is an elliptic curve such that has rank and the -primary part of the Shafarevich-Tate group of over is finite then all specializations of of weight congruent to modulo and trivial character have finite (-primary) Shafarevich-Tate group and -dimensional image of the relevant -adic \'etale Abel-Jacobi map. Analogous results are obtained also in the rank case. As a second contribution, with no restriction on the dimension of but assuming the non-degeneracy of certain height pairings \`a la Gillet-Soul\'e between Heegner cycles, we show that if has analytic rank then, for all but finitely many , all specializations of of weight congruent to modulo and trivial character have analytic rank . This result provides some evidence in rank and weight larger than for a conjecture of Greenberg predicting that the analytic ranks of even weight modular forms in a Hida family should be as small as allowed by the functional equation, with at most finitely many exceptions.</t>
        </is>
      </c>
      <c r="E9" s="15" t="inlineStr">
        <is>
          <t>2020-01-13</t>
        </is>
      </c>
      <c r="F9" s="15" t="inlineStr">
        <is>
          <t>S. Vigni</t>
        </is>
      </c>
      <c r="G9" s="16" t="n">
        <v>7</v>
      </c>
      <c r="H9" s="16" t="n">
        <v>7</v>
      </c>
      <c r="I9" s="16" t="n">
        <v>7</v>
      </c>
      <c r="J9" s="16" t="n">
        <v>6</v>
      </c>
      <c r="K9" s="16" t="n">
        <v>6</v>
      </c>
      <c r="L9" s="16" t="n">
        <v>6</v>
      </c>
      <c r="M9" s="16" t="n">
        <v>6</v>
      </c>
      <c r="N9" s="16" t="n">
        <v>6</v>
      </c>
      <c r="O9" s="16" t="n">
        <v>6</v>
      </c>
      <c r="P9" s="16" t="n">
        <v>6</v>
      </c>
      <c r="Q9" s="16" t="n">
        <v>6</v>
      </c>
    </row>
    <row r="10" ht="28" customHeight="1">
      <c r="A10" s="28" t="n">
        <v>23</v>
      </c>
      <c r="B10" s="17" t="inlineStr">
        <is>
          <t>10.48550/arxiv.1807.03761</t>
        </is>
      </c>
      <c r="C10" s="17" t="inlineStr">
        <is>
          <t>The second moment of the number of integral points on elliptic curves is bounded</t>
        </is>
      </c>
      <c r="D10" s="17" t="inlineStr">
        <is>
          <t>Let be a number field and a finite set of places of containing all archimedean places. In this paper, we show that the second moment of the number of -integral points on elliptic curves over is bounded. In particular, we prove that, for any positive real number , the -th moment of the number of -integral points is bounded for the family of all integral short Weierstrass curves ordered by height, or for any positive density subfamily thereof. For certain other families of elliptic curves over , such as those with one or two marked points, we prove that the average of the number of integral points is bounded; in fact, for the family with one marked point, the -th moment is also bounded for all positive . The essential new ingredient in our proof is an upper bound on the number of -integral points on an affine integral Weierstrass model of an elliptic curve over depending on the rank of the curve, the class group and degree of , and the number of primes of whose square divides the discriminant of . For example, over , the bound for integral points on is , where is the number of prime squares dividing the discriminant of . The theorems on moments then follow from averaging this new upper bound; crucially, we can bound the average of the term by using results on the average sizes of Selmer groups in the families. In order to prove the bounds for the -th moment when (and the analogous equality cases for the other families), we introduce a method to count orbits of coregular representations with possibly unbounded weights.</t>
        </is>
      </c>
      <c r="E10" s="17" t="inlineStr">
        <is>
          <t>2018-07-10</t>
        </is>
      </c>
      <c r="F10" s="17" t="inlineStr">
        <is>
          <t>Levent Alpöge; Wei Ho</t>
        </is>
      </c>
      <c r="G10" s="18" t="n">
        <v>8</v>
      </c>
      <c r="H10" s="18" t="n">
        <v>8</v>
      </c>
      <c r="I10" s="18" t="n">
        <v>8</v>
      </c>
      <c r="J10" s="18" t="n">
        <v>8</v>
      </c>
      <c r="K10" s="18" t="n">
        <v>7</v>
      </c>
      <c r="L10" s="18" t="n">
        <v>7</v>
      </c>
      <c r="M10" s="18" t="n">
        <v>7</v>
      </c>
      <c r="N10" s="18" t="n">
        <v>7</v>
      </c>
      <c r="O10" s="18" t="n">
        <v>7</v>
      </c>
      <c r="P10" s="18" t="n">
        <v>7</v>
      </c>
      <c r="Q10" s="18" t="n">
        <v>7</v>
      </c>
    </row>
    <row r="11" ht="28" customHeight="1">
      <c r="A11" s="27" t="n">
        <v>5</v>
      </c>
      <c r="B11" s="19" t="inlineStr">
        <is>
          <t>10.1112/s1461157015000157</t>
        </is>
      </c>
      <c r="C11" s="19" t="inlineStr">
        <is>
          <t>Hyperelliptic modular curves and isogenies of elliptic curves over quadratic fields</t>
        </is>
      </c>
      <c r="D11" s="19" t="inlineStr">
        <is>
          <t>We study elliptic curves over quadratic fields with isogenies of certain degrees. Let be a positive integer such that the modular curve is hyperelliptic of genus and such that its Jacobian has rank over . We determine all points of defined over quadratic fields, and we give a moduli interpretation of these points. We show that, with a finite number of exceptions up to -isomorphism, every elliptic curve over a quadratic field admitting an -isogeny is -isogenous, for some , to the twist of its Galois conjugate by a quadratic extension of . We determine and explicitly, and we list all exceptions. As a consequence, again with a finite number of exceptions up to -isomorphism, all elliptic curves with -isogenies over quadratic fields are in fact -curves.</t>
        </is>
      </c>
      <c r="E11" s="19" t="inlineStr">
        <is>
          <t>2015-01-01</t>
        </is>
      </c>
      <c r="F11" s="19" t="inlineStr">
        <is>
          <t>Peter Bruin; Filip Najman</t>
        </is>
      </c>
      <c r="G11" s="20" t="n">
        <v>9</v>
      </c>
      <c r="H11" s="20" t="n">
        <v>9</v>
      </c>
      <c r="I11" s="20" t="n">
        <v>9</v>
      </c>
      <c r="J11" s="20" t="n">
        <v>9</v>
      </c>
      <c r="K11" s="20" t="n">
        <v>10</v>
      </c>
      <c r="L11" s="20" t="n">
        <v>10</v>
      </c>
      <c r="M11" s="20" t="n">
        <v>10</v>
      </c>
      <c r="N11" s="20" t="n">
        <v>11</v>
      </c>
      <c r="O11" s="20" t="n">
        <v>11</v>
      </c>
      <c r="P11" s="20" t="n">
        <v>11</v>
      </c>
      <c r="Q11" s="20" t="n">
        <v>11</v>
      </c>
    </row>
    <row r="12" ht="28" customHeight="1">
      <c r="A12" s="28" t="n">
        <v>18</v>
      </c>
      <c r="B12" s="21" t="inlineStr">
        <is>
          <t>10.48550/arxiv.0904.3709</t>
        </is>
      </c>
      <c r="C12" s="21" t="inlineStr">
        <is>
          <t>Ranks of twists of elliptic curves and Hilbert's Tenth Problem</t>
        </is>
      </c>
      <c r="D12" s="21" t="inlineStr">
        <is>
          <t>In this paper we investigate the 2-Selmer rank in families of quadratic twists of elliptic curves over arbitrary number fields. We give sufficient conditions on an elliptic curve so that it has twists of arbitrary 2-Selmer rank, and we give lower bounds for the number of twists (with bounded conductor) that have a given 2-Selmer rank. As a consequence, under appropriate hypotheses we can find many twists with trivial Mordell-Weil group, and (assuming the Shafarevich-Tate conjecture) many others with infinite cyclic Mordell-Weil group. Using work of Poonen and Shlapentokh, it follows from our results that if the Shafarevich-Tate conjecture holds, then Hilbert's Tenth Problem has a negative answer over the ring of integers of every number field.</t>
        </is>
      </c>
      <c r="E12" s="21" t="inlineStr">
        <is>
          <t>2009-04-23</t>
        </is>
      </c>
      <c r="F12" s="21" t="inlineStr">
        <is>
          <t>Barry Mazur; Karl Rubin</t>
        </is>
      </c>
      <c r="G12" s="22" t="n">
        <v>10</v>
      </c>
      <c r="H12" s="22" t="n">
        <v>10</v>
      </c>
      <c r="I12" s="22" t="n">
        <v>10</v>
      </c>
      <c r="J12" s="22" t="n">
        <v>10</v>
      </c>
      <c r="K12" s="22" t="n">
        <v>9</v>
      </c>
      <c r="L12" s="22" t="n">
        <v>9</v>
      </c>
      <c r="M12" s="22" t="n">
        <v>9</v>
      </c>
      <c r="N12" s="22" t="n">
        <v>9</v>
      </c>
      <c r="O12" s="22" t="n">
        <v>9</v>
      </c>
      <c r="P12" s="22" t="n">
        <v>8</v>
      </c>
      <c r="Q12" s="22" t="n">
        <v>8</v>
      </c>
    </row>
    <row r="13" ht="28" customHeight="1">
      <c r="A13" s="27" t="n">
        <v>8</v>
      </c>
      <c r="B13" s="23" t="inlineStr">
        <is>
          <t>10.1017/fms.2024.127</t>
        </is>
      </c>
      <c r="C13" s="23" t="inlineStr">
        <is>
          <t>Average Analytic Ranks of Elliptic Curves over Number Fields</t>
        </is>
      </c>
      <c r="D13" s="23" t="inlineStr">
        <is>
          <t>We give a conditional bound for the average analytic rank of elliptic curves over an arbitrary number field. In particular, under the assumptions that all elliptic curves over a number field K are modular and have L-functions which satisfy the Generalized Riemann Hypothesis, we show that the average analytic rank of isomorphism classes of elliptic curves over K is bounded above by , when ordered by naive height. A key ingredient in the proof is giving asymptotics for the number of elliptic curves over an arbitrary number field with a prescribed local condition; these results are obtained by proving general results for counting points of bounded height on weighted projective stacks with a prescribed local condition, which may be of independent interest.</t>
        </is>
      </c>
      <c r="E13" s="23" t="inlineStr">
        <is>
          <t>2025-01-01</t>
        </is>
      </c>
      <c r="F13" s="23" t="inlineStr">
        <is>
          <t>Tristan Phillips</t>
        </is>
      </c>
      <c r="G13" s="24" t="n">
        <v>11</v>
      </c>
      <c r="H13" s="24" t="n">
        <v>11</v>
      </c>
      <c r="I13" s="24" t="n">
        <v>11</v>
      </c>
      <c r="J13" s="24" t="n">
        <v>11</v>
      </c>
      <c r="K13" s="24" t="n">
        <v>11</v>
      </c>
      <c r="L13" s="24" t="n">
        <v>11</v>
      </c>
      <c r="M13" s="24" t="n">
        <v>11</v>
      </c>
      <c r="N13" s="24" t="n">
        <v>10</v>
      </c>
      <c r="O13" s="24" t="n">
        <v>10</v>
      </c>
      <c r="P13" s="24" t="n">
        <v>10</v>
      </c>
      <c r="Q13" s="24" t="n">
        <v>10</v>
      </c>
    </row>
    <row r="14" ht="20" customHeight="1">
      <c r="A14" s="29" t="n">
        <v>3237</v>
      </c>
      <c r="B14" s="30" t="inlineStr">
        <is>
          <t>Total records in comparison file (3237)</t>
        </is>
      </c>
    </row>
    <row r="15" ht="20" customHeight="1">
      <c r="A15" s="31">
        <f>MAX(A3:A13)/A14</f>
        <v/>
      </c>
      <c r="B15" s="30" t="inlineStr">
        <is>
          <t>The top ten are in this top percent of the comparison file:</t>
        </is>
      </c>
      <c r="C15" s="32" t="inlineStr">
        <is>
          <t>C:\Users\timja\OneDrive\Navy\Monterey\Dissertation\TSC\TSC_1000_Number_Theory+elliptic_curves_modular_forms_ranks_TF-IDF_20260525_135551</t>
        </is>
      </c>
    </row>
    <row r="16" ht="20" customHeight="1">
      <c r="B16" s="30" t="inlineStr">
        <is>
          <t>Source files for this query:</t>
        </is>
      </c>
      <c r="C16" s="32" t="inlineStr">
        <is>
          <t>C:\Users\timja\OneDrive\Navy\Monterey\Dissertation\TSC\TSC_150_elliptic_curves_modular_forms_ranks_TF-IDF_20260403_114841</t>
        </is>
      </c>
    </row>
    <row r="17" ht="20" customHeight="1">
      <c r="A17" s="33" t="n">
        <v>0.6177156177156177</v>
      </c>
      <c r="B17" s="34" t="inlineStr">
        <is>
          <t>(265 of 429) DOIs from this run are in the top 429 of the comparison file (3237 DOIs) [Chosen Tau Rank]</t>
        </is>
      </c>
    </row>
  </sheetData>
  <mergeCells count="1">
    <mergeCell ref="B1:Q1"/>
  </mergeCells>
  <hyperlinks>
    <hyperlink xmlns:r="http://schemas.openxmlformats.org/officeDocument/2006/relationships" ref="C15" r:id="rId1"/>
    <hyperlink xmlns:r="http://schemas.openxmlformats.org/officeDocument/2006/relationships" ref="C16" r:id="rId2"/>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2026-04-03T18:55:05Z</dcterms:created>
  <dcterms:modified xmlns:dcterms="http://purl.org/dc/terms/" xmlns:xsi="http://www.w3.org/2001/XMLSchema-instance" xsi:type="dcterms:W3CDTF">2026-05-25T21:55:01Z</dcterms:modified>
</cp:coreProperties>
</file>