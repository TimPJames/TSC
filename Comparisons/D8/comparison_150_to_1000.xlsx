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7830800"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688050"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Number_Theory+elliptic_curves_modular_forms_ranks_TF-IDF_20260525_135551" TargetMode="External" Id="rId1"/><Relationship Type="http://schemas.openxmlformats.org/officeDocument/2006/relationships/hyperlink" Target="C:\Users\timja\OneDrive\Navy\Monterey\Dissertation\TSC\TSC_150_elliptic_curves_modular_forms_ranks_TF-IDF_20260403_11484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τ=0.05 (max TSC spread)  |  11 of 429 DOIs  [FINE]
TSC_150_elliptic_curves_modular_forms_ranks_TF-IDF_20260403_114841
Similarity Method: TF-IDF
Query Terms: "elliptic curves" "modular forms" "ranks"
Query Relevance Terms: "elliptic curves" "modular forms" "ranks"</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3</v>
      </c>
      <c r="B3" s="3" t="inlineStr">
        <is>
          <t>10.48550/arxiv.1404.4964</t>
        </is>
      </c>
      <c r="C3" s="3" t="inlineStr">
        <is>
          <t>The Parity of Analytic Ranks among Quadratic Twists of Elliptic Curves over Number Fields</t>
        </is>
      </c>
      <c r="D3" s="3"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E3" s="3" t="inlineStr">
        <is>
          <t>2014-04-19</t>
        </is>
      </c>
      <c r="F3" s="3" t="inlineStr">
        <is>
          <t>Nava Balsam</t>
        </is>
      </c>
      <c r="G3" s="4" t="n">
        <v>1</v>
      </c>
      <c r="H3" s="4" t="n">
        <v>1</v>
      </c>
      <c r="I3" s="4" t="n">
        <v>1</v>
      </c>
      <c r="J3" s="4" t="n">
        <v>1</v>
      </c>
      <c r="K3" s="4" t="n">
        <v>1</v>
      </c>
      <c r="L3" s="4" t="n">
        <v>1</v>
      </c>
      <c r="M3" s="4" t="n">
        <v>1</v>
      </c>
      <c r="N3" s="4" t="n">
        <v>1</v>
      </c>
      <c r="O3" s="4" t="n">
        <v>1</v>
      </c>
      <c r="P3" s="4" t="n">
        <v>1</v>
      </c>
      <c r="Q3" s="4" t="n">
        <v>1</v>
      </c>
    </row>
    <row r="4" ht="28" customHeight="1">
      <c r="A4" s="28" t="n">
        <v>11</v>
      </c>
      <c r="B4" s="5" t="inlineStr">
        <is>
          <t>10.1017/S030500412610187X</t>
        </is>
      </c>
      <c r="C4" s="5" t="inlineStr">
        <is>
          <t>Selmer stability in families of congruent Galois representations</t>
        </is>
      </c>
      <c r="D4" s="5"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E4" s="5" t="inlineStr">
        <is>
          <t>2025-05-05</t>
        </is>
      </c>
      <c r="F4" s="5" t="inlineStr">
        <is>
          <t>Anwesh Ray</t>
        </is>
      </c>
      <c r="G4" s="6" t="n">
        <v>2</v>
      </c>
      <c r="H4" s="6" t="n">
        <v>2</v>
      </c>
      <c r="I4" s="6" t="n">
        <v>2</v>
      </c>
      <c r="J4" s="6" t="n">
        <v>2</v>
      </c>
      <c r="K4" s="6" t="n">
        <v>2</v>
      </c>
      <c r="L4" s="6" t="n">
        <v>2</v>
      </c>
      <c r="M4" s="6" t="n">
        <v>2</v>
      </c>
      <c r="N4" s="6" t="n">
        <v>3</v>
      </c>
      <c r="O4" s="6" t="n">
        <v>4</v>
      </c>
      <c r="P4" s="6" t="n">
        <v>4</v>
      </c>
      <c r="Q4" s="6" t="n">
        <v>4</v>
      </c>
    </row>
    <row r="5" ht="28" customHeight="1">
      <c r="A5" s="27" t="n">
        <v>2</v>
      </c>
      <c r="B5" s="7" t="inlineStr">
        <is>
          <t>10.48550/arxiv.1511.07512</t>
        </is>
      </c>
      <c r="C5" s="7" t="inlineStr">
        <is>
          <t>On 2-Selmer ranks of quadratic twists of elliptic curves</t>
        </is>
      </c>
      <c r="D5" s="7"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E5" s="7" t="inlineStr">
        <is>
          <t>2015-11-24</t>
        </is>
      </c>
      <c r="F5" s="7" t="inlineStr">
        <is>
          <t>Myungjun Yu</t>
        </is>
      </c>
      <c r="G5" s="8" t="n">
        <v>3</v>
      </c>
      <c r="H5" s="8" t="n">
        <v>3</v>
      </c>
      <c r="I5" s="8" t="n">
        <v>3</v>
      </c>
      <c r="J5" s="8" t="n">
        <v>3</v>
      </c>
      <c r="K5" s="8" t="n">
        <v>3</v>
      </c>
      <c r="L5" s="8" t="n">
        <v>3</v>
      </c>
      <c r="M5" s="8" t="n">
        <v>3</v>
      </c>
      <c r="N5" s="8" t="n">
        <v>2</v>
      </c>
      <c r="O5" s="8" t="n">
        <v>2</v>
      </c>
      <c r="P5" s="8" t="n">
        <v>2</v>
      </c>
      <c r="Q5" s="8" t="n">
        <v>2</v>
      </c>
    </row>
    <row r="6" ht="28" customHeight="1">
      <c r="A6" s="27" t="n">
        <v>1</v>
      </c>
      <c r="B6" s="9" t="inlineStr">
        <is>
          <t>10.1093/imrn/rnt013</t>
        </is>
      </c>
      <c r="C6" s="9" t="inlineStr">
        <is>
          <t>Ranks of Elliptic Curves with Prescribed Torsion over Number Fields</t>
        </is>
      </c>
      <c r="D6" s="9"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E6" s="9" t="inlineStr">
        <is>
          <t>2013-02-15</t>
        </is>
      </c>
      <c r="F6" s="9" t="inlineStr">
        <is>
          <t>Johan Bosman; Peter Bruin; Andrej Dujella; Filip Najman</t>
        </is>
      </c>
      <c r="G6" s="10" t="n">
        <v>4</v>
      </c>
      <c r="H6" s="10" t="n">
        <v>4</v>
      </c>
      <c r="I6" s="10" t="n">
        <v>4</v>
      </c>
      <c r="J6" s="10" t="n">
        <v>4</v>
      </c>
      <c r="K6" s="10" t="n">
        <v>4</v>
      </c>
      <c r="L6" s="10" t="n">
        <v>4</v>
      </c>
      <c r="M6" s="10" t="n">
        <v>4</v>
      </c>
      <c r="N6" s="10" t="n">
        <v>4</v>
      </c>
      <c r="O6" s="10" t="n">
        <v>3</v>
      </c>
      <c r="P6" s="10" t="n">
        <v>3</v>
      </c>
      <c r="Q6" s="10" t="n">
        <v>3</v>
      </c>
    </row>
    <row r="7" ht="28" customHeight="1">
      <c r="A7" s="28" t="n">
        <v>13</v>
      </c>
      <c r="B7" s="11" t="inlineStr">
        <is>
          <t>10.1216/rmj-2014-44-6-1867</t>
        </is>
      </c>
      <c r="C7" s="11" t="inlineStr">
        <is>
          <t>On high rank and -congruent number elliptic curves</t>
        </is>
      </c>
      <c r="D7" s="11"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E7" s="11" t="inlineStr">
        <is>
          <t>2014-12-01</t>
        </is>
      </c>
      <c r="F7" s="11" t="inlineStr">
        <is>
          <t>Ali S. Janfada; Sajad Salami; Andrej Dujella; Juan Carlos Peral</t>
        </is>
      </c>
      <c r="G7" s="12" t="n">
        <v>5</v>
      </c>
      <c r="H7" s="12" t="n">
        <v>5</v>
      </c>
      <c r="I7" s="12" t="n">
        <v>5</v>
      </c>
      <c r="J7" s="12" t="n">
        <v>5</v>
      </c>
      <c r="K7" s="12" t="n">
        <v>5</v>
      </c>
      <c r="L7" s="12" t="n">
        <v>5</v>
      </c>
      <c r="M7" s="12" t="n">
        <v>5</v>
      </c>
      <c r="N7" s="12" t="n">
        <v>5</v>
      </c>
      <c r="O7" s="12" t="n">
        <v>5</v>
      </c>
      <c r="P7" s="12" t="n">
        <v>5</v>
      </c>
      <c r="Q7" s="12" t="n">
        <v>5</v>
      </c>
    </row>
    <row r="8" ht="28" customHeight="1">
      <c r="A8" s="28" t="n">
        <v>15</v>
      </c>
      <c r="B8" s="13" t="inlineStr">
        <is>
          <t>10.1112/plms.70089</t>
        </is>
      </c>
      <c r="C8" s="13" t="inlineStr">
        <is>
          <t>Tamagawa number conjecture for CM modular forms and Rankin-Selberg convolutions</t>
        </is>
      </c>
      <c r="D8" s="13"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E8" s="13" t="inlineStr">
        <is>
          <t>2025-10-01</t>
        </is>
      </c>
      <c r="F8" s="13" t="inlineStr">
        <is>
          <t>Francesc Castella</t>
        </is>
      </c>
      <c r="G8" s="14" t="n">
        <v>6</v>
      </c>
      <c r="H8" s="14" t="n">
        <v>6</v>
      </c>
      <c r="I8" s="14" t="n">
        <v>6</v>
      </c>
      <c r="J8" s="14" t="n">
        <v>7</v>
      </c>
      <c r="K8" s="14" t="n">
        <v>8</v>
      </c>
      <c r="L8" s="14" t="n">
        <v>8</v>
      </c>
      <c r="M8" s="14" t="n">
        <v>8</v>
      </c>
      <c r="N8" s="14" t="n">
        <v>8</v>
      </c>
      <c r="O8" s="14" t="n">
        <v>8</v>
      </c>
      <c r="P8" s="14" t="n">
        <v>9</v>
      </c>
      <c r="Q8" s="14" t="n">
        <v>9</v>
      </c>
    </row>
    <row r="9" ht="28" customHeight="1">
      <c r="A9" s="28" t="n">
        <v>47</v>
      </c>
      <c r="B9" s="15" t="inlineStr">
        <is>
          <t>10.2422/2036-2145.202206_011</t>
        </is>
      </c>
      <c r="C9" s="15" t="inlineStr">
        <is>
          <t>On Shafarevich-Tate groups and analytic ranks in families of modular forms, I. Hida families</t>
        </is>
      </c>
      <c r="D9" s="15"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E9" s="15" t="inlineStr">
        <is>
          <t>2020-01-13</t>
        </is>
      </c>
      <c r="F9" s="15" t="inlineStr">
        <is>
          <t>S. Vigni</t>
        </is>
      </c>
      <c r="G9" s="16" t="n">
        <v>7</v>
      </c>
      <c r="H9" s="16" t="n">
        <v>7</v>
      </c>
      <c r="I9" s="16" t="n">
        <v>7</v>
      </c>
      <c r="J9" s="16" t="n">
        <v>6</v>
      </c>
      <c r="K9" s="16" t="n">
        <v>6</v>
      </c>
      <c r="L9" s="16" t="n">
        <v>6</v>
      </c>
      <c r="M9" s="16" t="n">
        <v>6</v>
      </c>
      <c r="N9" s="16" t="n">
        <v>6</v>
      </c>
      <c r="O9" s="16" t="n">
        <v>6</v>
      </c>
      <c r="P9" s="16" t="n">
        <v>6</v>
      </c>
      <c r="Q9" s="16" t="n">
        <v>6</v>
      </c>
    </row>
    <row r="10" ht="28" customHeight="1">
      <c r="A10" s="28" t="n">
        <v>23</v>
      </c>
      <c r="B10" s="17" t="inlineStr">
        <is>
          <t>10.48550/arxiv.1807.03761</t>
        </is>
      </c>
      <c r="C10" s="17" t="inlineStr">
        <is>
          <t>The second moment of the number of integral points on elliptic curves is bounded</t>
        </is>
      </c>
      <c r="D10" s="17" t="inlineStr">
        <is>
          <t>Let be a number field and a finite set of places of containing all archimedean places. In this paper, we show that the second moment of the number of -integral points on elliptic curves over is bounded. In particular, we prove that, for any positive real number , the -th moment of the number of -integral points is bounded for the family of all integral short Weierstrass curves ordered by height, or for any positive density subfamily thereof. For certain other families of elliptic curves over , such as those with one or two marked points, we prove that the average of the number of integral points is bounded; in fact, for the family with one marked point, the -th moment is also bounded for all positive . The essential new ingredient in our proof is an upper bound on the number of -integral points on an affine integral Weierstrass model of an elliptic curve over depending on the rank of the curve, the class group and degree of , and the number of primes of whose square divides the discriminant of . For example, over , the bound for integral points on is , where is the number of prime squares dividing the discriminant of . The theorems on moments then follow from averaging this new upper bound; crucially, we can bound the average of the term by using results on the average sizes of Selmer groups in the families. In order to prove the bounds for the -th moment when (and the analogous equality cases for the other families), we introduce a method to count orbits of coregular representations with possibly unbounded weights.</t>
        </is>
      </c>
      <c r="E10" s="17" t="inlineStr">
        <is>
          <t>2018-07-10</t>
        </is>
      </c>
      <c r="F10" s="17" t="inlineStr">
        <is>
          <t>Levent Alpöge; Wei Ho</t>
        </is>
      </c>
      <c r="G10" s="18" t="n">
        <v>8</v>
      </c>
      <c r="H10" s="18" t="n">
        <v>8</v>
      </c>
      <c r="I10" s="18" t="n">
        <v>8</v>
      </c>
      <c r="J10" s="18" t="n">
        <v>8</v>
      </c>
      <c r="K10" s="18" t="n">
        <v>7</v>
      </c>
      <c r="L10" s="18" t="n">
        <v>7</v>
      </c>
      <c r="M10" s="18" t="n">
        <v>7</v>
      </c>
      <c r="N10" s="18" t="n">
        <v>7</v>
      </c>
      <c r="O10" s="18" t="n">
        <v>7</v>
      </c>
      <c r="P10" s="18" t="n">
        <v>7</v>
      </c>
      <c r="Q10" s="18" t="n">
        <v>7</v>
      </c>
    </row>
    <row r="11" ht="28" customHeight="1">
      <c r="A11" s="27" t="n">
        <v>5</v>
      </c>
      <c r="B11" s="19" t="inlineStr">
        <is>
          <t>10.1112/s1461157015000157</t>
        </is>
      </c>
      <c r="C11" s="19" t="inlineStr">
        <is>
          <t>Hyperelliptic modular curves and isogenies of elliptic curves over quadratic fields</t>
        </is>
      </c>
      <c r="D11" s="19"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E11" s="19" t="inlineStr">
        <is>
          <t>2015-01-01</t>
        </is>
      </c>
      <c r="F11" s="19" t="inlineStr">
        <is>
          <t>Peter Bruin; Filip Najman</t>
        </is>
      </c>
      <c r="G11" s="20" t="n">
        <v>9</v>
      </c>
      <c r="H11" s="20" t="n">
        <v>9</v>
      </c>
      <c r="I11" s="20" t="n">
        <v>9</v>
      </c>
      <c r="J11" s="20" t="n">
        <v>9</v>
      </c>
      <c r="K11" s="20" t="n">
        <v>10</v>
      </c>
      <c r="L11" s="20" t="n">
        <v>10</v>
      </c>
      <c r="M11" s="20" t="n">
        <v>10</v>
      </c>
      <c r="N11" s="20" t="n">
        <v>11</v>
      </c>
      <c r="O11" s="20" t="n">
        <v>11</v>
      </c>
      <c r="P11" s="20" t="n">
        <v>11</v>
      </c>
      <c r="Q11" s="20" t="n">
        <v>11</v>
      </c>
    </row>
    <row r="12" ht="28" customHeight="1">
      <c r="A12" s="28" t="n">
        <v>18</v>
      </c>
      <c r="B12" s="21" t="inlineStr">
        <is>
          <t>10.48550/arxiv.0904.3709</t>
        </is>
      </c>
      <c r="C12" s="21" t="inlineStr">
        <is>
          <t>Ranks of twists of elliptic curves and Hilbert's Tenth Problem</t>
        </is>
      </c>
      <c r="D12" s="21"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E12" s="21" t="inlineStr">
        <is>
          <t>2009-04-23</t>
        </is>
      </c>
      <c r="F12" s="21" t="inlineStr">
        <is>
          <t>Barry Mazur; Karl Rubin</t>
        </is>
      </c>
      <c r="G12" s="22" t="n">
        <v>10</v>
      </c>
      <c r="H12" s="22" t="n">
        <v>10</v>
      </c>
      <c r="I12" s="22" t="n">
        <v>10</v>
      </c>
      <c r="J12" s="22" t="n">
        <v>10</v>
      </c>
      <c r="K12" s="22" t="n">
        <v>9</v>
      </c>
      <c r="L12" s="22" t="n">
        <v>9</v>
      </c>
      <c r="M12" s="22" t="n">
        <v>9</v>
      </c>
      <c r="N12" s="22" t="n">
        <v>9</v>
      </c>
      <c r="O12" s="22" t="n">
        <v>9</v>
      </c>
      <c r="P12" s="22" t="n">
        <v>8</v>
      </c>
      <c r="Q12" s="22" t="n">
        <v>8</v>
      </c>
    </row>
    <row r="13" ht="28" customHeight="1">
      <c r="A13" s="27" t="n">
        <v>8</v>
      </c>
      <c r="B13" s="23" t="inlineStr">
        <is>
          <t>10.1017/fms.2024.127</t>
        </is>
      </c>
      <c r="C13" s="23" t="inlineStr">
        <is>
          <t>Average Analytic Ranks of Elliptic Curves over Number Fields</t>
        </is>
      </c>
      <c r="D13" s="23"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E13" s="23" t="inlineStr">
        <is>
          <t>2025-01-01</t>
        </is>
      </c>
      <c r="F13" s="23" t="inlineStr">
        <is>
          <t>Tristan Phillips</t>
        </is>
      </c>
      <c r="G13" s="24" t="n">
        <v>11</v>
      </c>
      <c r="H13" s="24" t="n">
        <v>11</v>
      </c>
      <c r="I13" s="24" t="n">
        <v>11</v>
      </c>
      <c r="J13" s="24" t="n">
        <v>11</v>
      </c>
      <c r="K13" s="24" t="n">
        <v>11</v>
      </c>
      <c r="L13" s="24" t="n">
        <v>11</v>
      </c>
      <c r="M13" s="24" t="n">
        <v>11</v>
      </c>
      <c r="N13" s="24" t="n">
        <v>10</v>
      </c>
      <c r="O13" s="24" t="n">
        <v>10</v>
      </c>
      <c r="P13" s="24" t="n">
        <v>10</v>
      </c>
      <c r="Q13" s="24" t="n">
        <v>10</v>
      </c>
    </row>
    <row r="14" ht="20" customHeight="1">
      <c r="A14" s="29" t="n">
        <v>3237</v>
      </c>
      <c r="B14" s="30" t="inlineStr">
        <is>
          <t>Total records in comparison file (3237)</t>
        </is>
      </c>
    </row>
    <row r="15" ht="20" customHeight="1">
      <c r="A15" s="31">
        <f>MAX(A3:A13)/A14</f>
        <v/>
      </c>
      <c r="B15" s="30" t="inlineStr">
        <is>
          <t>The top ten are in this top percent of the comparison file:</t>
        </is>
      </c>
      <c r="C15" s="32" t="inlineStr">
        <is>
          <t>C:\Users\timja\OneDrive\Navy\Monterey\Dissertation\TSC\TSC_1000_Number_Theory+elliptic_curves_modular_forms_ranks_TF-IDF_20260525_135551</t>
        </is>
      </c>
    </row>
    <row r="16" ht="20" customHeight="1">
      <c r="B16" s="30" t="inlineStr">
        <is>
          <t>Source files for this query:</t>
        </is>
      </c>
      <c r="C16" s="32" t="inlineStr">
        <is>
          <t>C:\Users\timja\OneDrive\Navy\Monterey\Dissertation\TSC\TSC_150_elliptic_curves_modular_forms_ranks_TF-IDF_20260403_114841</t>
        </is>
      </c>
    </row>
    <row r="17" ht="20" customHeight="1">
      <c r="A17" s="33" t="n">
        <v>0.6177156177156177</v>
      </c>
      <c r="B17" s="34" t="inlineStr">
        <is>
          <t>(265 of 429) DOIs from this run are in the top 429 of the comparison file (3237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2026-04-03T18:55:05Z</dcterms:created>
  <dcterms:modified xmlns:dcterms="http://purl.org/dc/terms/" xmlns:xsi="http://www.w3.org/2001/XMLSchema-instance" xsi:type="dcterms:W3CDTF">2026-05-25T21:55:01Z</dcterms:modified>
</cp:coreProperties>
</file>