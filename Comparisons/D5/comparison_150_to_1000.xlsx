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8"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6583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7373600"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cryptography+homomorphic_encryption_TF-IDF_20260522_131509" TargetMode="External" Id="rId1"/><Relationship Type="http://schemas.openxmlformats.org/officeDocument/2006/relationships/hyperlink" Target="C:\Users\timja\OneDrive\Navy\Monterey\Dissertation\TSC\TSC_150_homomorphic_encryption_TF-IDF_20260331_135149"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(1000)</t>
        </is>
      </c>
      <c r="B1" s="1" t="inlineStr">
        <is>
          <t>Top-10 Rankings vs λ at τ=0.05 (max TSC spread)  |  11 of 458 DOIs  [FINE]
TSC_150_homomorphic_encryption_TF-IDF_20260331_135149
Similarity Method: TF-IDF
Query Terms: "homomorphic encryption"
Query Relevance Terms: "homomorphic encryption"</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1</v>
      </c>
      <c r="B3" s="3" t="inlineStr">
        <is>
          <t>10.54660/.ijfmr.2025.6.1.48-56</t>
        </is>
      </c>
      <c r="C3" s="3" t="inlineStr">
        <is>
          <t>A Novel Approach to Cloud Data Encryption using Homomorphic Encryption (2024)</t>
        </is>
      </c>
      <c r="D3" s="3"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E3" s="3" t="inlineStr">
        <is>
          <t>2025-01-01</t>
        </is>
      </c>
      <c r="F3" s="3" t="inlineStr">
        <is>
          <t>Joy Ezinwanneamaka Ike; Joseph Darko Kessie; Raphael Popoola; Muhammed Adewale Azeez; Tolulope Onibokun</t>
        </is>
      </c>
      <c r="G3" s="4" t="n">
        <v>1</v>
      </c>
      <c r="H3" s="4" t="n">
        <v>1</v>
      </c>
      <c r="I3" s="4" t="n">
        <v>1</v>
      </c>
      <c r="J3" s="4" t="n">
        <v>1</v>
      </c>
      <c r="K3" s="4" t="n">
        <v>1</v>
      </c>
      <c r="L3" s="4" t="n">
        <v>1</v>
      </c>
      <c r="M3" s="4" t="n">
        <v>1</v>
      </c>
      <c r="N3" s="4" t="n">
        <v>1</v>
      </c>
      <c r="O3" s="4" t="n">
        <v>1</v>
      </c>
      <c r="P3" s="4" t="n">
        <v>1</v>
      </c>
      <c r="Q3" s="4" t="n">
        <v>1</v>
      </c>
    </row>
    <row r="4" ht="28" customHeight="1">
      <c r="A4" s="27" t="n">
        <v>2</v>
      </c>
      <c r="B4" s="5" t="inlineStr">
        <is>
          <t>10.1109/aicis.2018.00043</t>
        </is>
      </c>
      <c r="C4" s="5" t="inlineStr">
        <is>
          <t>New Fully Homomorphic Encryption Scheme Based on Multistage Partial Homomorphic Encryption Applied in Cloud Computing</t>
        </is>
      </c>
      <c r="D4" s="5"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E4" s="5" t="inlineStr">
        <is>
          <t>2018-11-01</t>
        </is>
      </c>
      <c r="F4" s="5" t="inlineStr">
        <is>
          <t>Zainab H. Mahmood; Mahmood Khalel Ibrahem</t>
        </is>
      </c>
      <c r="G4" s="6" t="n">
        <v>2</v>
      </c>
      <c r="H4" s="6" t="n">
        <v>2</v>
      </c>
      <c r="I4" s="6" t="n">
        <v>2</v>
      </c>
      <c r="J4" s="6" t="n">
        <v>2</v>
      </c>
      <c r="K4" s="6" t="n">
        <v>2</v>
      </c>
      <c r="L4" s="6" t="n">
        <v>2</v>
      </c>
      <c r="M4" s="6" t="n">
        <v>2</v>
      </c>
      <c r="N4" s="6" t="n">
        <v>2</v>
      </c>
      <c r="O4" s="6" t="n">
        <v>2</v>
      </c>
      <c r="P4" s="6" t="n">
        <v>2</v>
      </c>
      <c r="Q4" s="6" t="n">
        <v>2</v>
      </c>
    </row>
    <row r="5" ht="28" customHeight="1">
      <c r="A5" s="27" t="n">
        <v>9</v>
      </c>
      <c r="B5" s="7" t="inlineStr">
        <is>
          <t>10.3390/electronics13224478</t>
        </is>
      </c>
      <c r="C5" s="7" t="inlineStr">
        <is>
          <t>Secure and Flexible Privacy-Preserving Federated Learning Based on Multi-Key Fully Homomorphic Encryption</t>
        </is>
      </c>
      <c r="D5" s="7"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E5" s="7" t="inlineStr">
        <is>
          <t>2024-11-14</t>
        </is>
      </c>
      <c r="F5" s="7" t="inlineStr">
        <is>
          <t>Jiachen Shen; Yekang Zhao; Shitao Huang; Yongjun Ren</t>
        </is>
      </c>
      <c r="G5" s="8" t="n">
        <v>3</v>
      </c>
      <c r="H5" s="8" t="n">
        <v>3</v>
      </c>
      <c r="I5" s="8" t="n">
        <v>3</v>
      </c>
      <c r="J5" s="8" t="n">
        <v>3</v>
      </c>
      <c r="K5" s="8" t="n">
        <v>3</v>
      </c>
      <c r="L5" s="8" t="n">
        <v>3</v>
      </c>
      <c r="M5" s="8" t="n">
        <v>3</v>
      </c>
      <c r="N5" s="8" t="n">
        <v>3</v>
      </c>
      <c r="O5" s="8" t="n">
        <v>3</v>
      </c>
      <c r="P5" s="8" t="n">
        <v>3</v>
      </c>
      <c r="Q5" s="8" t="n">
        <v>3</v>
      </c>
    </row>
    <row r="6" ht="28" customHeight="1">
      <c r="A6" s="27" t="n">
        <v>4</v>
      </c>
      <c r="B6" s="9" t="inlineStr">
        <is>
          <t>10.5120/15902-5081</t>
        </is>
      </c>
      <c r="C6" s="9" t="inlineStr">
        <is>
          <t>Survey of Various Homomorphic Encryption algorithms and Schemes</t>
        </is>
      </c>
      <c r="D6" s="9"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E6" s="9" t="inlineStr">
        <is>
          <t>2014-04-18</t>
        </is>
      </c>
      <c r="F6" s="9" t="inlineStr">
        <is>
          <t>Payal V.Parmar; Shraddha B. Padhar; Shafika N. Patel; Niyatee I. Bhatt; Rutvij H. Jhaveri</t>
        </is>
      </c>
      <c r="G6" s="10" t="n">
        <v>4</v>
      </c>
      <c r="H6" s="10" t="n">
        <v>4</v>
      </c>
      <c r="I6" s="10" t="n">
        <v>4</v>
      </c>
      <c r="J6" s="10" t="n">
        <v>4</v>
      </c>
      <c r="K6" s="10" t="n">
        <v>4</v>
      </c>
      <c r="L6" s="10" t="n">
        <v>4</v>
      </c>
      <c r="M6" s="10" t="n">
        <v>4</v>
      </c>
      <c r="N6" s="10" t="n">
        <v>5</v>
      </c>
      <c r="O6" s="10" t="n">
        <v>5</v>
      </c>
      <c r="P6" s="10" t="n">
        <v>5</v>
      </c>
      <c r="Q6" s="10" t="n">
        <v>5</v>
      </c>
    </row>
    <row r="7" ht="28" customHeight="1">
      <c r="A7" s="28" t="n">
        <v>11</v>
      </c>
      <c r="B7" s="11" t="inlineStr">
        <is>
          <t>10.48550/arxiv.1704.03578</t>
        </is>
      </c>
      <c r="C7" s="11" t="inlineStr">
        <is>
          <t>A Survey on Homomorphic Encryption Schemes: Theory and Implementation</t>
        </is>
      </c>
      <c r="D7" s="11" t="inlineStr">
        <is>
          <t>Legacy encryption systems depend on sharing a key (public or private) among the peers involved in exchanging an encrypted message. However, this approach poses privacy concerns. Especially with popular cloud services, the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First, we present the basics of HE and the details of the well-known Partially Homomorphic Encryption (PHE) and Somewhat Homomorphic Encryption (SWHE), which are important pillars of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as well as extending the state of the art HE, PHE, SWHE, and FHE systems.</t>
        </is>
      </c>
      <c r="E7" s="11" t="inlineStr">
        <is>
          <t>2017-04-12</t>
        </is>
      </c>
      <c r="F7" s="11" t="inlineStr">
        <is>
          <t>Abbas Acar; Hidayet Aksu; A. Selcuk Uluagac; Mauro Conti</t>
        </is>
      </c>
      <c r="G7" s="12" t="n">
        <v>5</v>
      </c>
      <c r="H7" s="12" t="n">
        <v>5</v>
      </c>
      <c r="I7" s="12" t="n">
        <v>5</v>
      </c>
      <c r="J7" s="12" t="n">
        <v>5</v>
      </c>
      <c r="K7" s="12" t="n">
        <v>6</v>
      </c>
      <c r="L7" s="12" t="n">
        <v>6</v>
      </c>
      <c r="M7" s="12" t="n">
        <v>6</v>
      </c>
      <c r="N7" s="12" t="n">
        <v>6</v>
      </c>
      <c r="O7" s="12" t="n">
        <v>7</v>
      </c>
      <c r="P7" s="12" t="n">
        <v>8</v>
      </c>
      <c r="Q7" s="12" t="n">
        <v>8</v>
      </c>
    </row>
    <row r="8" ht="28" customHeight="1">
      <c r="A8" s="28" t="n">
        <v>13</v>
      </c>
      <c r="B8" s="13" t="inlineStr">
        <is>
          <t>10.1145/3214303</t>
        </is>
      </c>
      <c r="C8" s="13" t="inlineStr">
        <is>
          <t>A Survey on Homomorphic Encryption Schemes</t>
        </is>
      </c>
      <c r="D8" s="13" t="inlineStr">
        <is>
          <t>Legacy encryption systems depend on sharing a key (public or private) among the peers involved in exchanging an encrypted message. However, this approach poses privacy concerns. The users or service providers with the key have exclusive rights on the data. Especially with popular cloud services,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Therefore, this survey focuses on HE and FHE schemes. First, we present the basics of HE and the details of the well-known Partially Homomorphic Encryption (PHE) and Somewhat Homomorphic Encryption (SWHE), which are important pillars for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and extending the state-of-the-art HE, PHE, SWHE, and FHE systems.</t>
        </is>
      </c>
      <c r="E8" s="13" t="inlineStr">
        <is>
          <t>2017-04-12</t>
        </is>
      </c>
      <c r="F8" s="13" t="inlineStr">
        <is>
          <t>Abbas Acar; Hidayet Aksu; Selcuk Uluagac; M. Conti</t>
        </is>
      </c>
      <c r="G8" s="14" t="n">
        <v>6</v>
      </c>
      <c r="H8" s="14" t="n">
        <v>6</v>
      </c>
      <c r="I8" s="14" t="n">
        <v>6</v>
      </c>
      <c r="J8" s="14" t="n">
        <v>7</v>
      </c>
      <c r="K8" s="14" t="n">
        <v>7</v>
      </c>
      <c r="L8" s="14" t="n">
        <v>7</v>
      </c>
      <c r="M8" s="14" t="n">
        <v>8</v>
      </c>
      <c r="N8" s="14" t="n">
        <v>8</v>
      </c>
      <c r="O8" s="14" t="n">
        <v>9</v>
      </c>
      <c r="P8" s="14" t="n">
        <v>9</v>
      </c>
      <c r="Q8" s="14" t="n">
        <v>10</v>
      </c>
    </row>
    <row r="9" ht="28" customHeight="1">
      <c r="A9" s="27" t="n">
        <v>8</v>
      </c>
      <c r="B9" s="15" t="inlineStr">
        <is>
          <t>10.48550/arxiv.2205.13265</t>
        </is>
      </c>
      <c r="C9" s="15" t="inlineStr">
        <is>
          <t>Privacy-Preserving Wavelet Neural Network with Fully Homomorphic Encryption</t>
        </is>
      </c>
      <c r="D9" s="15"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E9" s="15" t="inlineStr">
        <is>
          <t>2022-05-26</t>
        </is>
      </c>
      <c r="F9" s="15" t="inlineStr">
        <is>
          <t>Syed Imtiaz Ahamed; Vadlamani Ravi</t>
        </is>
      </c>
      <c r="G9" s="16" t="n">
        <v>7</v>
      </c>
      <c r="H9" s="16" t="n">
        <v>7</v>
      </c>
      <c r="I9" s="16" t="n">
        <v>7</v>
      </c>
      <c r="J9" s="16" t="n">
        <v>6</v>
      </c>
      <c r="K9" s="16" t="n">
        <v>5</v>
      </c>
      <c r="L9" s="16" t="n">
        <v>5</v>
      </c>
      <c r="M9" s="16" t="n">
        <v>5</v>
      </c>
      <c r="N9" s="16" t="n">
        <v>4</v>
      </c>
      <c r="O9" s="16" t="n">
        <v>4</v>
      </c>
      <c r="P9" s="16" t="n">
        <v>4</v>
      </c>
      <c r="Q9" s="16" t="n">
        <v>4</v>
      </c>
    </row>
    <row r="10" ht="28" customHeight="1">
      <c r="A10" s="27" t="n">
        <v>3</v>
      </c>
      <c r="B10" s="17" t="inlineStr">
        <is>
          <t>10.48550/arxiv.2305.05904</t>
        </is>
      </c>
      <c r="C10" s="17" t="inlineStr">
        <is>
          <t>Revisiting Fully Homomorphic Encryption Schemes</t>
        </is>
      </c>
      <c r="D10" s="17"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E10" s="17" t="inlineStr">
        <is>
          <t>2023-05-10</t>
        </is>
      </c>
      <c r="F10" s="17" t="inlineStr">
        <is>
          <t>Nimish Jain; Aswani Kumar Cherukuri</t>
        </is>
      </c>
      <c r="G10" s="18" t="n">
        <v>8</v>
      </c>
      <c r="H10" s="18" t="n">
        <v>8</v>
      </c>
      <c r="I10" s="18" t="n">
        <v>9</v>
      </c>
      <c r="J10" s="18" t="n">
        <v>9</v>
      </c>
      <c r="K10" s="18" t="n">
        <v>10</v>
      </c>
      <c r="L10" s="18" t="n">
        <v>10</v>
      </c>
      <c r="M10" s="18" t="n">
        <v>10</v>
      </c>
      <c r="N10" s="18" t="n">
        <v>11</v>
      </c>
      <c r="O10" s="18" t="n">
        <v>11</v>
      </c>
      <c r="P10" s="18" t="n">
        <v>11</v>
      </c>
      <c r="Q10" s="18" t="n">
        <v>12</v>
      </c>
    </row>
    <row r="11" ht="28" customHeight="1">
      <c r="A11" s="28" t="n">
        <v>37</v>
      </c>
      <c r="B11" s="19" t="inlineStr">
        <is>
          <t>10.62056/av11c3w9p</t>
        </is>
      </c>
      <c r="C11" s="19" t="inlineStr">
        <is>
          <t>Circuit Privacy for FHEW/TFHE-Style Fully Homomorphic Encryption in Practice</t>
        </is>
      </c>
      <c r="D11" s="19" t="inlineStr">
        <is>
          <t>A fully homomorphic encryption (FHE) scheme allows a client to encrypt and delegate its data to a server that performs computation on the encrypted data that the client can then decrypt. While FHE gives confidentiality to clients' data, it does not protect the server's input and computation. Nevertheless, FHE schemes are still helpful in building delegation protocols that reduce communication complexity, as the ciphertext's size is independent of the size of the computation performed on them. We can further extend FHE by a property called circuit privacy, which guarantees that the result of computing on ciphertexts reveals no information on the computed function and the inputs of the server. Thereby, circuit private FHE gives rise to round optimal and communication efficient secure two-party computation protocols. Unfortunately, despite significant efforts and much work put into the efficiency and practical implementations of FHE schemes, very little has been done to provide useful and practical FHE supporting circuit privacy. In this work, we address this gap and design the first randomized bootstrapping algorithm whose single invocation sanitizes a ciphertext and, consequently, serves as a tool to provide circuit privacy. We give an extensive analysis, propose parameters, and provide a C++ implementation of our scheme. Our bootstrapping can sanitize a ciphertext to achieve circuit privacy at an 80-bit statistical security level in between 1.3 and 0.9 seconds, depending which Gaussian sampling algorithm is used, and whether the parameter set targets a fast Fourier or a number theoretic transform-based implementation. In addition, we can perform non-sanitized bootstrapping in around 0.27 or 0.14 seconds. Crucially, we do not need to increase the parameters to perform computation before or after sanitization takes place. For comparison's sake, we revisit the Ducas-Stehle washing machine method. In particular, we give a tight analysis, estimate efficiency, review old, and provide new parameters.</t>
        </is>
      </c>
      <c r="E11" s="19" t="inlineStr">
        <is>
          <t>2025-01-13</t>
        </is>
      </c>
      <c r="F11" s="19" t="inlineStr">
        <is>
          <t>Kamil Kluczniak</t>
        </is>
      </c>
      <c r="G11" s="20" t="n">
        <v>9</v>
      </c>
      <c r="H11" s="20" t="n">
        <v>9</v>
      </c>
      <c r="I11" s="20" t="n">
        <v>8</v>
      </c>
      <c r="J11" s="20" t="n">
        <v>8</v>
      </c>
      <c r="K11" s="20" t="n">
        <v>9</v>
      </c>
      <c r="L11" s="20" t="n">
        <v>9</v>
      </c>
      <c r="M11" s="20" t="n">
        <v>9</v>
      </c>
      <c r="N11" s="20" t="n">
        <v>10</v>
      </c>
      <c r="O11" s="20" t="n">
        <v>10</v>
      </c>
      <c r="P11" s="20" t="n">
        <v>10</v>
      </c>
      <c r="Q11" s="20" t="n">
        <v>9</v>
      </c>
    </row>
    <row r="12" ht="28" customHeight="1">
      <c r="A12" s="28" t="n">
        <v>14</v>
      </c>
      <c r="B12" s="21" t="inlineStr">
        <is>
          <t>10.1145/3528580.3532845</t>
        </is>
      </c>
      <c r="C12" s="21" t="inlineStr">
        <is>
          <t>Homomorphic Encryption and Federated Learning based Privacy-Preserving CNN Training: COVID-19 Detection Use-Case</t>
        </is>
      </c>
      <c r="D12" s="21"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E12" s="21" t="inlineStr">
        <is>
          <t>2022-04-16</t>
        </is>
      </c>
      <c r="F12" s="21" t="inlineStr">
        <is>
          <t>Febrianti Wibawa; Ferhat Ozgur Catak; S. Sarp; M. Kuzlu; Umit Cali</t>
        </is>
      </c>
      <c r="G12" s="22" t="n">
        <v>10</v>
      </c>
      <c r="H12" s="22" t="n">
        <v>10</v>
      </c>
      <c r="I12" s="22" t="n">
        <v>10</v>
      </c>
      <c r="J12" s="22" t="n">
        <v>10</v>
      </c>
      <c r="K12" s="22" t="n">
        <v>8</v>
      </c>
      <c r="L12" s="22" t="n">
        <v>8</v>
      </c>
      <c r="M12" s="22" t="n">
        <v>7</v>
      </c>
      <c r="N12" s="22" t="n">
        <v>7</v>
      </c>
      <c r="O12" s="22" t="n">
        <v>6</v>
      </c>
      <c r="P12" s="22" t="n">
        <v>6</v>
      </c>
      <c r="Q12" s="22" t="n">
        <v>6</v>
      </c>
    </row>
    <row r="13" ht="28" customHeight="1">
      <c r="A13" s="28" t="n">
        <v>42</v>
      </c>
      <c r="B13" s="23" t="inlineStr">
        <is>
          <t>10.48550/arxiv.2504.03002</t>
        </is>
      </c>
      <c r="C13" s="23" t="inlineStr">
        <is>
          <t>Improving Efficiency in Federated Learning with Optimized Homomorphic Encryption</t>
        </is>
      </c>
      <c r="D13" s="23" t="inlineStr">
        <is>
          <t>Federated learning is a method used in machine learning to allow multiple devices to work together on a model without sharing their private data. Each participant keeps their private data on their system and trains a local model and only sends updates to a central server, which combines these updates to improve the overall model. A key enabler of privacy in FL is homomorphic encryption (HE). HE allows computations to be performed directly on encrypted data. While HE offers strong privacy guarantees, it is computationally intensive, leading to significant latency and scalability issues, particularly for large-scale models like BERT. In my research, I aimed to address this inefficiency problem. My research introduces a novel algorithm to address these inefficiencies while maintaining robust privacy guarantees. I integrated several mathematical techniques such as selective parameter encryption, sensitivity maps, and differential privacy noise within my algorithms, which has already improved its efficiency. I have also conducted rigorous mathematical proofs to validate the correctness and robustness of the approach. I implemented this algorithm by coding it in C++, simulating the environment of federated learning on large-scale models, and verified that the efficiency of my algorithm is times the efficiency of the state-of-the-art method. This research has significant implications for machine learning because its ability to improve efficiency while balancing privacy makes it a practical solution! It would enable federated learning to be used very efficiently and deployed in various resource-constrained environments, as this research provides a novel solution to one of the key challenges in federated learning: the inefficiency of homomorphic encryption, as my new algorithm is able to enhance the scalability and resource efficiency of FL while maintaining robust privacy guarantees.</t>
        </is>
      </c>
      <c r="E13" s="23" t="inlineStr">
        <is>
          <t>2025-04-03</t>
        </is>
      </c>
      <c r="F13" s="23" t="inlineStr">
        <is>
          <t>Feiran Yang</t>
        </is>
      </c>
      <c r="G13" s="24" t="n">
        <v>11</v>
      </c>
      <c r="H13" s="24" t="n">
        <v>11</v>
      </c>
      <c r="I13" s="24" t="n">
        <v>11</v>
      </c>
      <c r="J13" s="24" t="n">
        <v>11</v>
      </c>
      <c r="K13" s="24" t="n">
        <v>11</v>
      </c>
      <c r="L13" s="24" t="n">
        <v>11</v>
      </c>
      <c r="M13" s="24" t="n">
        <v>11</v>
      </c>
      <c r="N13" s="24" t="n">
        <v>9</v>
      </c>
      <c r="O13" s="24" t="n">
        <v>8</v>
      </c>
      <c r="P13" s="24" t="n">
        <v>7</v>
      </c>
      <c r="Q13" s="24" t="n">
        <v>7</v>
      </c>
    </row>
    <row r="14" ht="20" customHeight="1">
      <c r="A14" s="29" t="n">
        <v>3723</v>
      </c>
      <c r="B14" s="30" t="inlineStr">
        <is>
          <t>Total records in comparison file (3723)</t>
        </is>
      </c>
    </row>
    <row r="15" ht="20" customHeight="1">
      <c r="A15" s="31">
        <f>MAX(A3:A13)/A14</f>
        <v/>
      </c>
      <c r="B15" s="30" t="inlineStr">
        <is>
          <t>The top ten are in this top percent of the comparison file:</t>
        </is>
      </c>
      <c r="C15" s="32" t="inlineStr">
        <is>
          <t>C:\Users\timja\OneDrive\Navy\Monterey\Dissertation\TSC\TSC_1000_cryptography+homomorphic_encryption_TF-IDF_20260522_131509</t>
        </is>
      </c>
    </row>
    <row r="16" ht="20" customHeight="1">
      <c r="B16" s="30" t="inlineStr">
        <is>
          <t>Source files for this query:</t>
        </is>
      </c>
      <c r="C16" s="32" t="inlineStr">
        <is>
          <t>C:\Users\timja\OneDrive\Navy\Monterey\Dissertation\TSC\TSC_150_homomorphic_encryption_TF-IDF_20260331_135149</t>
        </is>
      </c>
    </row>
    <row r="17" ht="20" customHeight="1">
      <c r="A17" s="33" t="n">
        <v>0.7641921397379913</v>
      </c>
      <c r="B17" s="34" t="inlineStr">
        <is>
          <t>(350 of 458) DOIs from this run are in the top 458 of the comparison file (3723 DOIs) [Chosen Tau Rank]</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2026-03-31T20:58:35Z</dcterms:created>
  <dcterms:modified xmlns:dcterms="http://purl.org/dc/terms/" xmlns:xsi="http://www.w3.org/2001/XMLSchema-instance" xsi:type="dcterms:W3CDTF">2026-05-23T07:41:48Z</dcterms:modified>
</cp:coreProperties>
</file>